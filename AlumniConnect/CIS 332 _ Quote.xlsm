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Spring 2020\AlumniConnect\"/>
    </mc:Choice>
  </mc:AlternateContent>
  <xr:revisionPtr revIDLastSave="0" documentId="13_ncr:1_{C9EE7AFC-49EA-4FF4-9F4D-803B39E677F2}" xr6:coauthVersionLast="45" xr6:coauthVersionMax="45" xr10:uidLastSave="{00000000-0000-0000-0000-000000000000}"/>
  <bookViews>
    <workbookView xWindow="28680" yWindow="960" windowWidth="21840" windowHeight="13140" xr2:uid="{D0B79F03-7EB6-44A6-9411-563ADB9DB3D6}"/>
  </bookViews>
  <sheets>
    <sheet name="Quote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9" i="1" l="1"/>
  <c r="G16" i="1"/>
  <c r="G8" i="1" l="1"/>
  <c r="E11" i="1"/>
  <c r="E12" i="1"/>
  <c r="F16" i="1" l="1"/>
  <c r="F52" i="1" l="1"/>
  <c r="F47" i="1"/>
  <c r="F43" i="1"/>
  <c r="F39" i="1"/>
  <c r="G52" i="1" l="1"/>
  <c r="G47" i="1"/>
  <c r="G43" i="1"/>
  <c r="G39" i="1"/>
  <c r="G35" i="1"/>
  <c r="G30" i="1"/>
  <c r="G26" i="1"/>
  <c r="G3" i="1"/>
  <c r="E56" i="1"/>
  <c r="E52" i="1"/>
  <c r="E47" i="1"/>
  <c r="E46" i="1"/>
  <c r="E43" i="1"/>
  <c r="E54" i="1"/>
  <c r="E53" i="1"/>
  <c r="E51" i="1"/>
  <c r="E50" i="1"/>
  <c r="E49" i="1"/>
  <c r="E48" i="1"/>
  <c r="E45" i="1"/>
  <c r="E44" i="1"/>
  <c r="E42" i="1"/>
  <c r="E41" i="1"/>
  <c r="E40" i="1"/>
  <c r="E39" i="1"/>
  <c r="E38" i="1"/>
  <c r="E37" i="1"/>
  <c r="E36" i="1"/>
  <c r="F35" i="1"/>
  <c r="F30" i="1"/>
  <c r="F26" i="1"/>
  <c r="F9" i="1"/>
  <c r="F8" i="1" s="1"/>
  <c r="F3" i="1"/>
  <c r="E35" i="1"/>
  <c r="E34" i="1"/>
  <c r="E33" i="1"/>
  <c r="E32" i="1"/>
  <c r="E31" i="1"/>
  <c r="E30" i="1"/>
  <c r="E29" i="1"/>
  <c r="E28" i="1"/>
  <c r="E27" i="1"/>
  <c r="E26" i="1"/>
  <c r="E8" i="1"/>
  <c r="E25" i="1"/>
  <c r="E20" i="1"/>
  <c r="E21" i="1"/>
  <c r="E22" i="1"/>
  <c r="E23" i="1"/>
  <c r="E24" i="1"/>
  <c r="E18" i="1"/>
  <c r="E17" i="1"/>
  <c r="E16" i="1"/>
  <c r="E15" i="1"/>
  <c r="E14" i="1"/>
  <c r="E13" i="1"/>
  <c r="E10" i="1"/>
  <c r="E9" i="1"/>
  <c r="E5" i="1"/>
  <c r="E6" i="1"/>
  <c r="E7" i="1"/>
  <c r="E4" i="1"/>
  <c r="E3" i="1"/>
  <c r="F56" i="1" l="1"/>
  <c r="A58" i="1" s="1"/>
  <c r="G56" i="1"/>
</calcChain>
</file>

<file path=xl/sharedStrings.xml><?xml version="1.0" encoding="utf-8"?>
<sst xmlns="http://schemas.openxmlformats.org/spreadsheetml/2006/main" count="144" uniqueCount="62">
  <si>
    <t>Step</t>
  </si>
  <si>
    <t>Task</t>
  </si>
  <si>
    <t>Start</t>
  </si>
  <si>
    <t>End</t>
  </si>
  <si>
    <t>Duration</t>
  </si>
  <si>
    <t>Percent Complete</t>
  </si>
  <si>
    <t>Planning</t>
  </si>
  <si>
    <t>Design</t>
  </si>
  <si>
    <t>Testing</t>
  </si>
  <si>
    <t>Remediation</t>
  </si>
  <si>
    <t>Deployment</t>
  </si>
  <si>
    <t>Hypercare Support</t>
  </si>
  <si>
    <t>Training</t>
  </si>
  <si>
    <t>Documentation</t>
  </si>
  <si>
    <t>Ongoing Support</t>
  </si>
  <si>
    <t>Total</t>
  </si>
  <si>
    <t>Building</t>
  </si>
  <si>
    <t>Backend SQL (add, browse, update, search, delete)</t>
  </si>
  <si>
    <t>Frontend home page</t>
  </si>
  <si>
    <t>Frontend personal page</t>
  </si>
  <si>
    <t>Frontend browse page</t>
  </si>
  <si>
    <t>Backend database</t>
  </si>
  <si>
    <t>Frontend event board</t>
  </si>
  <si>
    <t>Frontend admin reporting</t>
  </si>
  <si>
    <t>Homepage</t>
  </si>
  <si>
    <t>Browse page</t>
  </si>
  <si>
    <t>Event board</t>
  </si>
  <si>
    <t>Reporting GUI</t>
  </si>
  <si>
    <t>Security</t>
  </si>
  <si>
    <t>Feature updates</t>
  </si>
  <si>
    <t>Ongoing feature updates</t>
  </si>
  <si>
    <t>Ongoing bug fixes</t>
  </si>
  <si>
    <t xml:space="preserve">Backend </t>
  </si>
  <si>
    <t>Database</t>
  </si>
  <si>
    <t>Frontend</t>
  </si>
  <si>
    <t>Features</t>
  </si>
  <si>
    <t>Admin training</t>
  </si>
  <si>
    <t>Alumni training</t>
  </si>
  <si>
    <t>TS training</t>
  </si>
  <si>
    <t>Bug fixes</t>
  </si>
  <si>
    <t>Security updates</t>
  </si>
  <si>
    <t>GoLive for Database</t>
  </si>
  <si>
    <t>GoLive for Frontend</t>
  </si>
  <si>
    <t>Final Deployment for Alumni</t>
  </si>
  <si>
    <t>Feature testing</t>
  </si>
  <si>
    <t>Security testing</t>
  </si>
  <si>
    <t>Usability testing (outside critique)</t>
  </si>
  <si>
    <t>Finalize feature list</t>
  </si>
  <si>
    <t>Database table list</t>
  </si>
  <si>
    <t>User rights/limitations (security)</t>
  </si>
  <si>
    <t>Create sample data</t>
  </si>
  <si>
    <t>Feature changes/updates</t>
  </si>
  <si>
    <t>Design revision</t>
  </si>
  <si>
    <t>M</t>
  </si>
  <si>
    <t>T</t>
  </si>
  <si>
    <t>W</t>
  </si>
  <si>
    <t>F</t>
  </si>
  <si>
    <t>S</t>
  </si>
  <si>
    <t>Hours</t>
  </si>
  <si>
    <t>My Profile</t>
  </si>
  <si>
    <t>Frontend Login</t>
  </si>
  <si>
    <t>Backend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</si>
</sst>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5" xfId="0" applyFill="1" applyBorder="1"/>
    <xf numFmtId="0" fontId="0" fillId="0" borderId="5" xfId="0" applyBorder="1"/>
    <xf numFmtId="0" fontId="0" fillId="0" borderId="6" xfId="0" applyBorder="1"/>
    <xf numFmtId="0" fontId="0" fillId="3" borderId="8" xfId="0" applyFill="1" applyBorder="1"/>
    <xf numFmtId="0" fontId="0" fillId="0" borderId="8" xfId="0" applyBorder="1"/>
    <xf numFmtId="0" fontId="0" fillId="0" borderId="9" xfId="0" applyBorder="1"/>
    <xf numFmtId="16" fontId="0" fillId="3" borderId="7" xfId="0" applyNumberFormat="1" applyFill="1" applyBorder="1"/>
    <xf numFmtId="16" fontId="0" fillId="0" borderId="8" xfId="0" applyNumberFormat="1" applyBorder="1"/>
    <xf numFmtId="16" fontId="0" fillId="3" borderId="8" xfId="0" applyNumberFormat="1" applyFill="1" applyBorder="1"/>
    <xf numFmtId="16" fontId="0" fillId="0" borderId="9" xfId="0" applyNumberFormat="1" applyBorder="1"/>
    <xf numFmtId="164" fontId="0" fillId="3" borderId="8" xfId="0" applyNumberForma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8" xfId="0" applyNumberFormat="1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9" fontId="0" fillId="3" borderId="8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9" fontId="0" fillId="3" borderId="8" xfId="1" applyFont="1" applyFill="1" applyBorder="1" applyAlignment="1">
      <alignment horizontal="center"/>
    </xf>
    <xf numFmtId="9" fontId="0" fillId="0" borderId="8" xfId="1" applyFont="1" applyBorder="1" applyAlignment="1">
      <alignment horizontal="center"/>
    </xf>
    <xf numFmtId="9" fontId="0" fillId="0" borderId="9" xfId="1" applyFont="1" applyBorder="1" applyAlignment="1">
      <alignment horizontal="center"/>
    </xf>
    <xf numFmtId="0" fontId="0" fillId="2" borderId="1" xfId="0" applyFill="1" applyBorder="1"/>
    <xf numFmtId="16" fontId="0" fillId="2" borderId="0" xfId="0" applyNumberFormat="1" applyFill="1" applyBorder="1"/>
    <xf numFmtId="0" fontId="0" fillId="2" borderId="0" xfId="0" applyFill="1" applyBorder="1"/>
    <xf numFmtId="16" fontId="0" fillId="2" borderId="5" xfId="0" applyNumberFormat="1" applyFill="1" applyBorder="1"/>
    <xf numFmtId="0" fontId="0" fillId="4" borderId="1" xfId="0" applyFill="1" applyBorder="1"/>
    <xf numFmtId="0" fontId="0" fillId="4" borderId="0" xfId="0" applyFill="1" applyBorder="1"/>
    <xf numFmtId="0" fontId="0" fillId="3" borderId="0" xfId="0" applyFill="1" applyBorder="1"/>
    <xf numFmtId="0" fontId="0" fillId="0" borderId="0" xfId="0" applyBorder="1"/>
    <xf numFmtId="0" fontId="0" fillId="0" borderId="1" xfId="0" applyBorder="1"/>
    <xf numFmtId="0" fontId="0" fillId="3" borderId="1" xfId="0" applyFill="1" applyBorder="1"/>
    <xf numFmtId="0" fontId="0" fillId="0" borderId="0" xfId="0" applyFill="1" applyBorder="1"/>
    <xf numFmtId="0" fontId="0" fillId="4" borderId="5" xfId="0" applyFill="1" applyBorder="1"/>
    <xf numFmtId="0" fontId="0" fillId="0" borderId="10" xfId="0" applyBorder="1"/>
    <xf numFmtId="0" fontId="0" fillId="0" borderId="11" xfId="0" applyBorder="1"/>
    <xf numFmtId="0" fontId="0" fillId="0" borderId="11" xfId="0" applyFill="1" applyBorder="1"/>
    <xf numFmtId="0" fontId="0" fillId="4" borderId="11" xfId="0" applyFill="1" applyBorder="1"/>
    <xf numFmtId="0" fontId="0" fillId="4" borderId="6" xfId="0" applyFill="1" applyBorder="1"/>
    <xf numFmtId="0" fontId="0" fillId="0" borderId="12" xfId="0" applyBorder="1"/>
    <xf numFmtId="0" fontId="0" fillId="0" borderId="13" xfId="0" applyBorder="1"/>
    <xf numFmtId="164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3" xfId="1" applyFont="1" applyBorder="1" applyAlignment="1">
      <alignment horizontal="center"/>
    </xf>
    <xf numFmtId="16" fontId="0" fillId="0" borderId="0" xfId="0" applyNumberFormat="1" applyBorder="1"/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0" fontId="0" fillId="0" borderId="5" xfId="0" applyNumberFormat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6" xfId="1" applyFont="1" applyBorder="1" applyAlignment="1">
      <alignment horizontal="center"/>
    </xf>
    <xf numFmtId="0" fontId="0" fillId="0" borderId="8" xfId="0" applyFill="1" applyBorder="1"/>
    <xf numFmtId="164" fontId="0" fillId="2" borderId="2" xfId="0" applyNumberForma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9" fontId="0" fillId="2" borderId="2" xfId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vertical="center"/>
    </xf>
    <xf numFmtId="1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16" fontId="0" fillId="0" borderId="1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8967-6CD1-409A-B402-ABBEBB5E30E3}">
  <dimension ref="A1:WZK59"/>
  <sheetViews>
    <sheetView tabSelected="1" topLeftCell="A9" zoomScale="85" zoomScaleNormal="85" workbookViewId="0">
      <selection activeCell="B33" sqref="B33"/>
    </sheetView>
  </sheetViews>
  <sheetFormatPr defaultRowHeight="15" x14ac:dyDescent="0.25"/>
  <cols>
    <col min="2" max="2" width="41.85546875" customWidth="1"/>
    <col min="3" max="3" width="9.140625" customWidth="1"/>
    <col min="4" max="4" width="10" style="5" customWidth="1"/>
    <col min="5" max="5" width="9.42578125" style="4" customWidth="1"/>
    <col min="6" max="6" width="6.28515625" customWidth="1"/>
    <col min="7" max="7" width="16.28515625" style="6" customWidth="1"/>
    <col min="8" max="91" width="2.42578125" customWidth="1"/>
  </cols>
  <sheetData>
    <row r="1" spans="1:91" s="1" customFormat="1" x14ac:dyDescent="0.25">
      <c r="A1" s="61" t="s">
        <v>0</v>
      </c>
      <c r="B1" s="61" t="s">
        <v>1</v>
      </c>
      <c r="C1" s="66" t="s">
        <v>2</v>
      </c>
      <c r="D1" s="60" t="s">
        <v>3</v>
      </c>
      <c r="E1" s="61" t="s">
        <v>4</v>
      </c>
      <c r="F1" s="61" t="s">
        <v>58</v>
      </c>
      <c r="G1" s="62" t="s">
        <v>5</v>
      </c>
      <c r="H1" s="70">
        <v>43877</v>
      </c>
      <c r="I1" s="68"/>
      <c r="J1" s="68"/>
      <c r="K1" s="68"/>
      <c r="L1" s="68"/>
      <c r="M1" s="68"/>
      <c r="N1" s="68"/>
      <c r="O1" s="67">
        <v>43884</v>
      </c>
      <c r="P1" s="68"/>
      <c r="Q1" s="68"/>
      <c r="R1" s="68"/>
      <c r="S1" s="68"/>
      <c r="T1" s="68"/>
      <c r="U1" s="68"/>
      <c r="V1" s="67">
        <v>43891</v>
      </c>
      <c r="W1" s="68"/>
      <c r="X1" s="68"/>
      <c r="Y1" s="68"/>
      <c r="Z1" s="68"/>
      <c r="AA1" s="68"/>
      <c r="AB1" s="68"/>
      <c r="AC1" s="67">
        <v>43898</v>
      </c>
      <c r="AD1" s="68"/>
      <c r="AE1" s="68"/>
      <c r="AF1" s="68"/>
      <c r="AG1" s="68"/>
      <c r="AH1" s="68"/>
      <c r="AI1" s="68"/>
      <c r="AJ1" s="67">
        <v>43905</v>
      </c>
      <c r="AK1" s="68"/>
      <c r="AL1" s="68"/>
      <c r="AM1" s="68"/>
      <c r="AN1" s="68"/>
      <c r="AO1" s="68"/>
      <c r="AP1" s="68"/>
      <c r="AQ1" s="67">
        <v>43912</v>
      </c>
      <c r="AR1" s="68"/>
      <c r="AS1" s="68"/>
      <c r="AT1" s="68"/>
      <c r="AU1" s="68"/>
      <c r="AV1" s="68"/>
      <c r="AW1" s="68"/>
      <c r="AX1" s="67">
        <v>43919</v>
      </c>
      <c r="AY1" s="68"/>
      <c r="AZ1" s="68"/>
      <c r="BA1" s="68"/>
      <c r="BB1" s="68"/>
      <c r="BC1" s="68"/>
      <c r="BD1" s="68"/>
      <c r="BE1" s="67">
        <v>43926</v>
      </c>
      <c r="BF1" s="68"/>
      <c r="BG1" s="68"/>
      <c r="BH1" s="68"/>
      <c r="BI1" s="68"/>
      <c r="BJ1" s="68"/>
      <c r="BK1" s="68"/>
      <c r="BL1" s="67">
        <v>43933</v>
      </c>
      <c r="BM1" s="68"/>
      <c r="BN1" s="68"/>
      <c r="BO1" s="68"/>
      <c r="BP1" s="68"/>
      <c r="BQ1" s="68"/>
      <c r="BR1" s="68"/>
      <c r="BS1" s="67">
        <v>43940</v>
      </c>
      <c r="BT1" s="68"/>
      <c r="BU1" s="68"/>
      <c r="BV1" s="68"/>
      <c r="BW1" s="68"/>
      <c r="BX1" s="68"/>
      <c r="BY1" s="68"/>
      <c r="BZ1" s="67">
        <v>43947</v>
      </c>
      <c r="CA1" s="68"/>
      <c r="CB1" s="68"/>
      <c r="CC1" s="68"/>
      <c r="CD1" s="68"/>
      <c r="CE1" s="68"/>
      <c r="CF1" s="68"/>
      <c r="CG1" s="67">
        <v>43954</v>
      </c>
      <c r="CH1" s="68"/>
      <c r="CI1" s="68"/>
      <c r="CJ1" s="68"/>
      <c r="CK1" s="68"/>
      <c r="CL1" s="68"/>
      <c r="CM1" s="69"/>
    </row>
    <row r="2" spans="1:91" s="2" customFormat="1" x14ac:dyDescent="0.25">
      <c r="A2" s="61"/>
      <c r="B2" s="61"/>
      <c r="C2" s="66"/>
      <c r="D2" s="60"/>
      <c r="E2" s="61"/>
      <c r="F2" s="61"/>
      <c r="G2" s="62"/>
      <c r="H2" s="29" t="s">
        <v>57</v>
      </c>
      <c r="I2" s="30" t="s">
        <v>53</v>
      </c>
      <c r="J2" s="30" t="s">
        <v>54</v>
      </c>
      <c r="K2" s="30" t="s">
        <v>55</v>
      </c>
      <c r="L2" s="30" t="s">
        <v>54</v>
      </c>
      <c r="M2" s="30" t="s">
        <v>56</v>
      </c>
      <c r="N2" s="30" t="s">
        <v>57</v>
      </c>
      <c r="O2" s="31" t="s">
        <v>57</v>
      </c>
      <c r="P2" s="30" t="s">
        <v>53</v>
      </c>
      <c r="Q2" s="30" t="s">
        <v>54</v>
      </c>
      <c r="R2" s="30" t="s">
        <v>55</v>
      </c>
      <c r="S2" s="30" t="s">
        <v>54</v>
      </c>
      <c r="T2" s="30" t="s">
        <v>56</v>
      </c>
      <c r="U2" s="30" t="s">
        <v>57</v>
      </c>
      <c r="V2" s="31" t="s">
        <v>57</v>
      </c>
      <c r="W2" s="30" t="s">
        <v>53</v>
      </c>
      <c r="X2" s="30" t="s">
        <v>54</v>
      </c>
      <c r="Y2" s="30" t="s">
        <v>55</v>
      </c>
      <c r="Z2" s="30" t="s">
        <v>54</v>
      </c>
      <c r="AA2" s="30" t="s">
        <v>56</v>
      </c>
      <c r="AB2" s="30" t="s">
        <v>57</v>
      </c>
      <c r="AC2" s="31" t="s">
        <v>57</v>
      </c>
      <c r="AD2" s="30" t="s">
        <v>53</v>
      </c>
      <c r="AE2" s="30" t="s">
        <v>54</v>
      </c>
      <c r="AF2" s="30" t="s">
        <v>55</v>
      </c>
      <c r="AG2" s="30" t="s">
        <v>54</v>
      </c>
      <c r="AH2" s="30" t="s">
        <v>56</v>
      </c>
      <c r="AI2" s="30" t="s">
        <v>57</v>
      </c>
      <c r="AJ2" s="31" t="s">
        <v>57</v>
      </c>
      <c r="AK2" s="30" t="s">
        <v>53</v>
      </c>
      <c r="AL2" s="30" t="s">
        <v>54</v>
      </c>
      <c r="AM2" s="30" t="s">
        <v>55</v>
      </c>
      <c r="AN2" s="30" t="s">
        <v>54</v>
      </c>
      <c r="AO2" s="30" t="s">
        <v>56</v>
      </c>
      <c r="AP2" s="30" t="s">
        <v>57</v>
      </c>
      <c r="AQ2" s="31" t="s">
        <v>57</v>
      </c>
      <c r="AR2" s="30" t="s">
        <v>53</v>
      </c>
      <c r="AS2" s="30" t="s">
        <v>54</v>
      </c>
      <c r="AT2" s="30" t="s">
        <v>55</v>
      </c>
      <c r="AU2" s="30" t="s">
        <v>54</v>
      </c>
      <c r="AV2" s="30" t="s">
        <v>56</v>
      </c>
      <c r="AW2" s="30" t="s">
        <v>57</v>
      </c>
      <c r="AX2" s="31" t="s">
        <v>57</v>
      </c>
      <c r="AY2" s="30" t="s">
        <v>53</v>
      </c>
      <c r="AZ2" s="30" t="s">
        <v>54</v>
      </c>
      <c r="BA2" s="30" t="s">
        <v>55</v>
      </c>
      <c r="BB2" s="30" t="s">
        <v>54</v>
      </c>
      <c r="BC2" s="30" t="s">
        <v>56</v>
      </c>
      <c r="BD2" s="30" t="s">
        <v>57</v>
      </c>
      <c r="BE2" s="31" t="s">
        <v>57</v>
      </c>
      <c r="BF2" s="30" t="s">
        <v>53</v>
      </c>
      <c r="BG2" s="30" t="s">
        <v>54</v>
      </c>
      <c r="BH2" s="30" t="s">
        <v>55</v>
      </c>
      <c r="BI2" s="30" t="s">
        <v>54</v>
      </c>
      <c r="BJ2" s="30" t="s">
        <v>56</v>
      </c>
      <c r="BK2" s="30" t="s">
        <v>57</v>
      </c>
      <c r="BL2" s="31" t="s">
        <v>57</v>
      </c>
      <c r="BM2" s="30" t="s">
        <v>53</v>
      </c>
      <c r="BN2" s="30" t="s">
        <v>54</v>
      </c>
      <c r="BO2" s="30" t="s">
        <v>55</v>
      </c>
      <c r="BP2" s="30" t="s">
        <v>54</v>
      </c>
      <c r="BQ2" s="30" t="s">
        <v>56</v>
      </c>
      <c r="BR2" s="30" t="s">
        <v>57</v>
      </c>
      <c r="BS2" s="31" t="s">
        <v>57</v>
      </c>
      <c r="BT2" s="30" t="s">
        <v>53</v>
      </c>
      <c r="BU2" s="30" t="s">
        <v>54</v>
      </c>
      <c r="BV2" s="30" t="s">
        <v>55</v>
      </c>
      <c r="BW2" s="30" t="s">
        <v>54</v>
      </c>
      <c r="BX2" s="30" t="s">
        <v>56</v>
      </c>
      <c r="BY2" s="30" t="s">
        <v>57</v>
      </c>
      <c r="BZ2" s="31" t="s">
        <v>57</v>
      </c>
      <c r="CA2" s="30" t="s">
        <v>53</v>
      </c>
      <c r="CB2" s="30" t="s">
        <v>54</v>
      </c>
      <c r="CC2" s="30" t="s">
        <v>55</v>
      </c>
      <c r="CD2" s="30" t="s">
        <v>54</v>
      </c>
      <c r="CE2" s="30" t="s">
        <v>56</v>
      </c>
      <c r="CF2" s="30" t="s">
        <v>57</v>
      </c>
      <c r="CG2" s="31" t="s">
        <v>57</v>
      </c>
      <c r="CH2" s="30" t="s">
        <v>53</v>
      </c>
      <c r="CI2" s="30" t="s">
        <v>54</v>
      </c>
      <c r="CJ2" s="30" t="s">
        <v>55</v>
      </c>
      <c r="CK2" s="30" t="s">
        <v>54</v>
      </c>
      <c r="CL2" s="30" t="s">
        <v>56</v>
      </c>
      <c r="CM2" s="32" t="s">
        <v>57</v>
      </c>
    </row>
    <row r="3" spans="1:91" s="3" customFormat="1" x14ac:dyDescent="0.25">
      <c r="A3" s="7">
        <v>1</v>
      </c>
      <c r="B3" s="10" t="s">
        <v>6</v>
      </c>
      <c r="C3" s="13">
        <v>43877</v>
      </c>
      <c r="D3" s="17">
        <v>43883</v>
      </c>
      <c r="E3" s="21">
        <f>_xlfn.DAYS(D3, C3) +1</f>
        <v>7</v>
      </c>
      <c r="F3" s="10">
        <f>SUM(F4:F7)</f>
        <v>5.5</v>
      </c>
      <c r="G3" s="26">
        <f>SUM(G4:G7)/4</f>
        <v>1</v>
      </c>
      <c r="H3" s="33"/>
      <c r="I3" s="34"/>
      <c r="J3" s="34"/>
      <c r="K3" s="34"/>
      <c r="L3" s="34"/>
      <c r="M3" s="34"/>
      <c r="N3" s="34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7"/>
    </row>
    <row r="4" spans="1:91" x14ac:dyDescent="0.25">
      <c r="A4" s="8">
        <v>1.1000000000000001</v>
      </c>
      <c r="B4" s="11" t="s">
        <v>47</v>
      </c>
      <c r="C4" s="14">
        <v>43877</v>
      </c>
      <c r="D4" s="18">
        <v>43879</v>
      </c>
      <c r="E4" s="22">
        <f t="shared" ref="E4:E35" si="0">_xlfn.DAYS(D4, C4)+1</f>
        <v>3</v>
      </c>
      <c r="F4" s="11">
        <v>2</v>
      </c>
      <c r="G4" s="27">
        <v>1</v>
      </c>
      <c r="H4" s="33"/>
      <c r="I4" s="34"/>
      <c r="J4" s="34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8"/>
    </row>
    <row r="5" spans="1:91" x14ac:dyDescent="0.25">
      <c r="A5" s="8">
        <v>1.2</v>
      </c>
      <c r="B5" s="11" t="s">
        <v>48</v>
      </c>
      <c r="C5" s="14">
        <v>43879</v>
      </c>
      <c r="D5" s="18">
        <v>43880</v>
      </c>
      <c r="E5" s="22">
        <f t="shared" si="0"/>
        <v>2</v>
      </c>
      <c r="F5" s="11">
        <v>1</v>
      </c>
      <c r="G5" s="27">
        <v>1</v>
      </c>
      <c r="H5" s="37"/>
      <c r="I5" s="36"/>
      <c r="J5" s="34"/>
      <c r="K5" s="34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8"/>
    </row>
    <row r="6" spans="1:91" x14ac:dyDescent="0.25">
      <c r="A6" s="8">
        <v>1.3</v>
      </c>
      <c r="B6" s="11" t="s">
        <v>49</v>
      </c>
      <c r="C6" s="14">
        <v>43880</v>
      </c>
      <c r="D6" s="18">
        <v>43881</v>
      </c>
      <c r="E6" s="22">
        <f t="shared" si="0"/>
        <v>2</v>
      </c>
      <c r="F6" s="11">
        <v>0.5</v>
      </c>
      <c r="G6" s="27">
        <v>1</v>
      </c>
      <c r="H6" s="37"/>
      <c r="I6" s="36"/>
      <c r="J6" s="36"/>
      <c r="K6" s="34"/>
      <c r="L6" s="34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8"/>
    </row>
    <row r="7" spans="1:91" x14ac:dyDescent="0.25">
      <c r="A7" s="8">
        <v>1.4</v>
      </c>
      <c r="B7" s="11" t="s">
        <v>50</v>
      </c>
      <c r="C7" s="14">
        <v>43882</v>
      </c>
      <c r="D7" s="18">
        <v>43883</v>
      </c>
      <c r="E7" s="22">
        <f t="shared" si="0"/>
        <v>2</v>
      </c>
      <c r="F7" s="11">
        <v>2</v>
      </c>
      <c r="G7" s="27">
        <v>1</v>
      </c>
      <c r="H7" s="37"/>
      <c r="I7" s="36"/>
      <c r="J7" s="36"/>
      <c r="K7" s="36"/>
      <c r="L7" s="36"/>
      <c r="M7" s="34"/>
      <c r="N7" s="34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8"/>
    </row>
    <row r="8" spans="1:91" s="3" customFormat="1" x14ac:dyDescent="0.25">
      <c r="A8" s="7">
        <v>2</v>
      </c>
      <c r="B8" s="10" t="s">
        <v>7</v>
      </c>
      <c r="C8" s="15">
        <v>43884</v>
      </c>
      <c r="D8" s="17">
        <v>43890</v>
      </c>
      <c r="E8" s="21">
        <f t="shared" si="0"/>
        <v>7</v>
      </c>
      <c r="F8" s="10">
        <f>SUM(F9:F15)</f>
        <v>14</v>
      </c>
      <c r="G8" s="26">
        <f>SUM(G9:G15)/7</f>
        <v>1</v>
      </c>
      <c r="H8" s="38"/>
      <c r="I8" s="35"/>
      <c r="J8" s="35"/>
      <c r="K8" s="35"/>
      <c r="L8" s="35"/>
      <c r="M8" s="35"/>
      <c r="N8" s="35"/>
      <c r="O8" s="34"/>
      <c r="P8" s="34"/>
      <c r="Q8" s="34"/>
      <c r="R8" s="34"/>
      <c r="S8" s="34"/>
      <c r="T8" s="34"/>
      <c r="U8" s="34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7"/>
    </row>
    <row r="9" spans="1:91" x14ac:dyDescent="0.25">
      <c r="A9" s="8">
        <v>2.1</v>
      </c>
      <c r="B9" s="11" t="s">
        <v>33</v>
      </c>
      <c r="C9" s="14">
        <v>43884</v>
      </c>
      <c r="D9" s="18">
        <v>43886</v>
      </c>
      <c r="E9" s="22">
        <f t="shared" si="0"/>
        <v>3</v>
      </c>
      <c r="F9" s="11">
        <f>SUM(F10:F15)</f>
        <v>7</v>
      </c>
      <c r="G9" s="27">
        <v>1</v>
      </c>
      <c r="H9" s="37"/>
      <c r="I9" s="36"/>
      <c r="J9" s="36"/>
      <c r="K9" s="36"/>
      <c r="L9" s="36"/>
      <c r="M9" s="36"/>
      <c r="N9" s="36"/>
      <c r="O9" s="34"/>
      <c r="P9" s="34"/>
      <c r="Q9" s="34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8"/>
    </row>
    <row r="10" spans="1:91" x14ac:dyDescent="0.25">
      <c r="A10" s="8">
        <v>2.2000000000000002</v>
      </c>
      <c r="B10" s="11" t="s">
        <v>28</v>
      </c>
      <c r="C10" s="14">
        <v>43885</v>
      </c>
      <c r="D10" s="18">
        <v>43885</v>
      </c>
      <c r="E10" s="22">
        <f t="shared" si="0"/>
        <v>1</v>
      </c>
      <c r="F10" s="11">
        <v>1</v>
      </c>
      <c r="G10" s="27">
        <v>1</v>
      </c>
      <c r="H10" s="37"/>
      <c r="I10" s="36"/>
      <c r="J10" s="36"/>
      <c r="K10" s="36"/>
      <c r="L10" s="36"/>
      <c r="M10" s="36"/>
      <c r="N10" s="36"/>
      <c r="O10" s="36"/>
      <c r="P10" s="34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8"/>
    </row>
    <row r="11" spans="1:91" s="1" customFormat="1" x14ac:dyDescent="0.25">
      <c r="A11" s="8">
        <v>2.2999999999999998</v>
      </c>
      <c r="B11" s="11" t="s">
        <v>59</v>
      </c>
      <c r="C11" s="14">
        <v>43886</v>
      </c>
      <c r="D11" s="18">
        <v>43886</v>
      </c>
      <c r="E11" s="22">
        <f t="shared" si="0"/>
        <v>1</v>
      </c>
      <c r="F11" s="11">
        <v>1</v>
      </c>
      <c r="G11" s="27">
        <v>1</v>
      </c>
      <c r="H11" s="37"/>
      <c r="I11" s="36"/>
      <c r="J11" s="36"/>
      <c r="K11" s="36"/>
      <c r="L11" s="36"/>
      <c r="M11" s="36"/>
      <c r="N11" s="36"/>
      <c r="O11" s="36"/>
      <c r="P11" s="34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8"/>
    </row>
    <row r="12" spans="1:91" x14ac:dyDescent="0.25">
      <c r="A12" s="8">
        <v>2.4</v>
      </c>
      <c r="B12" s="11" t="s">
        <v>24</v>
      </c>
      <c r="C12" s="14">
        <v>43886</v>
      </c>
      <c r="D12" s="18">
        <v>43886</v>
      </c>
      <c r="E12" s="22">
        <f t="shared" si="0"/>
        <v>1</v>
      </c>
      <c r="F12" s="11">
        <v>1</v>
      </c>
      <c r="G12" s="27">
        <v>1</v>
      </c>
      <c r="H12" s="37"/>
      <c r="I12" s="36"/>
      <c r="J12" s="36"/>
      <c r="K12" s="36"/>
      <c r="L12" s="36"/>
      <c r="M12" s="36"/>
      <c r="N12" s="36"/>
      <c r="O12" s="36"/>
      <c r="P12" s="36"/>
      <c r="Q12" s="34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8"/>
    </row>
    <row r="13" spans="1:91" s="1" customFormat="1" x14ac:dyDescent="0.25">
      <c r="A13" s="8">
        <v>2.5</v>
      </c>
      <c r="B13" s="11" t="s">
        <v>25</v>
      </c>
      <c r="C13" s="14">
        <v>43887</v>
      </c>
      <c r="D13" s="18">
        <v>43888</v>
      </c>
      <c r="E13" s="22">
        <f t="shared" si="0"/>
        <v>2</v>
      </c>
      <c r="F13" s="11">
        <v>1</v>
      </c>
      <c r="G13" s="27">
        <v>1</v>
      </c>
      <c r="H13" s="37"/>
      <c r="I13" s="36"/>
      <c r="J13" s="36"/>
      <c r="K13" s="36"/>
      <c r="L13" s="36"/>
      <c r="M13" s="36"/>
      <c r="N13" s="36"/>
      <c r="O13" s="36"/>
      <c r="P13" s="36"/>
      <c r="Q13" s="36"/>
      <c r="R13" s="34"/>
      <c r="S13" s="34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8"/>
    </row>
    <row r="14" spans="1:91" x14ac:dyDescent="0.25">
      <c r="A14" s="8">
        <v>2.6</v>
      </c>
      <c r="B14" s="11" t="s">
        <v>26</v>
      </c>
      <c r="C14" s="14">
        <v>43889</v>
      </c>
      <c r="D14" s="18">
        <v>43889</v>
      </c>
      <c r="E14" s="22">
        <f t="shared" si="0"/>
        <v>1</v>
      </c>
      <c r="F14" s="11">
        <v>1</v>
      </c>
      <c r="G14" s="27">
        <v>1</v>
      </c>
      <c r="H14" s="37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4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8"/>
    </row>
    <row r="15" spans="1:91" s="1" customFormat="1" x14ac:dyDescent="0.25">
      <c r="A15" s="8">
        <v>2.7</v>
      </c>
      <c r="B15" s="11" t="s">
        <v>27</v>
      </c>
      <c r="C15" s="14">
        <v>43889</v>
      </c>
      <c r="D15" s="18">
        <v>43890</v>
      </c>
      <c r="E15" s="22">
        <f t="shared" si="0"/>
        <v>2</v>
      </c>
      <c r="F15" s="11">
        <v>2</v>
      </c>
      <c r="G15" s="27">
        <v>1</v>
      </c>
      <c r="H15" s="37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4"/>
      <c r="U15" s="34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8"/>
    </row>
    <row r="16" spans="1:91" s="3" customFormat="1" x14ac:dyDescent="0.25">
      <c r="A16" s="7">
        <v>3</v>
      </c>
      <c r="B16" s="10" t="s">
        <v>16</v>
      </c>
      <c r="C16" s="15">
        <v>43891</v>
      </c>
      <c r="D16" s="17">
        <v>43918</v>
      </c>
      <c r="E16" s="23">
        <f t="shared" si="0"/>
        <v>28</v>
      </c>
      <c r="F16" s="10">
        <f>SUM(F17:F25)</f>
        <v>50</v>
      </c>
      <c r="G16" s="26">
        <f>SUM(G17:G25)/9</f>
        <v>0.95000000000000007</v>
      </c>
      <c r="H16" s="38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7"/>
    </row>
    <row r="17" spans="1:91 16235:16235" s="1" customFormat="1" x14ac:dyDescent="0.25">
      <c r="A17" s="8">
        <v>3.1</v>
      </c>
      <c r="B17" s="59" t="s">
        <v>21</v>
      </c>
      <c r="C17" s="14">
        <v>43891</v>
      </c>
      <c r="D17" s="18">
        <v>43897</v>
      </c>
      <c r="E17" s="22">
        <f t="shared" si="0"/>
        <v>7</v>
      </c>
      <c r="F17" s="11">
        <v>5</v>
      </c>
      <c r="G17" s="27">
        <v>1</v>
      </c>
      <c r="H17" s="37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4"/>
      <c r="W17" s="34"/>
      <c r="X17" s="34"/>
      <c r="Y17" s="34"/>
      <c r="Z17" s="34"/>
      <c r="AA17" s="34"/>
      <c r="AB17" s="34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8"/>
    </row>
    <row r="18" spans="1:91 16235:16235" s="1" customFormat="1" x14ac:dyDescent="0.25">
      <c r="A18" s="8">
        <v>3.2</v>
      </c>
      <c r="B18" s="59" t="s">
        <v>17</v>
      </c>
      <c r="C18" s="14">
        <v>43898</v>
      </c>
      <c r="D18" s="18">
        <v>43918</v>
      </c>
      <c r="E18" s="22">
        <f t="shared" si="0"/>
        <v>21</v>
      </c>
      <c r="F18" s="11">
        <v>7</v>
      </c>
      <c r="G18" s="27">
        <v>1</v>
      </c>
      <c r="H18" s="37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8"/>
    </row>
    <row r="19" spans="1:91 16235:16235" s="1" customFormat="1" x14ac:dyDescent="0.25">
      <c r="A19" s="8">
        <v>3.3</v>
      </c>
      <c r="B19" s="59" t="s">
        <v>61</v>
      </c>
      <c r="C19" s="14">
        <v>43898</v>
      </c>
      <c r="D19" s="19">
        <v>43906</v>
      </c>
      <c r="E19" s="22">
        <f t="shared" si="0"/>
        <v>9</v>
      </c>
      <c r="F19" s="11">
        <v>3</v>
      </c>
      <c r="G19" s="27">
        <v>1</v>
      </c>
      <c r="H19" s="37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4"/>
      <c r="AD19" s="34"/>
      <c r="AE19" s="34"/>
      <c r="AF19" s="34"/>
      <c r="AG19" s="34"/>
      <c r="AH19" s="34"/>
      <c r="AI19" s="34"/>
      <c r="AJ19" s="34"/>
      <c r="AK19" s="34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8"/>
    </row>
    <row r="20" spans="1:91 16235:16235" s="1" customFormat="1" x14ac:dyDescent="0.25">
      <c r="A20" s="8">
        <v>3.4</v>
      </c>
      <c r="B20" s="59" t="s">
        <v>60</v>
      </c>
      <c r="C20" s="14">
        <v>43898</v>
      </c>
      <c r="D20" s="19">
        <v>43906</v>
      </c>
      <c r="E20" s="22">
        <f t="shared" si="0"/>
        <v>9</v>
      </c>
      <c r="F20" s="11">
        <v>6</v>
      </c>
      <c r="G20" s="27">
        <v>0.65</v>
      </c>
      <c r="H20" s="37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4"/>
      <c r="AD20" s="34"/>
      <c r="AE20" s="34"/>
      <c r="AF20" s="34"/>
      <c r="AG20" s="34"/>
      <c r="AH20" s="34"/>
      <c r="AI20" s="34"/>
      <c r="AJ20" s="34"/>
      <c r="AK20" s="34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8"/>
    </row>
    <row r="21" spans="1:91 16235:16235" x14ac:dyDescent="0.25">
      <c r="A21" s="8">
        <v>3.5</v>
      </c>
      <c r="B21" s="59" t="s">
        <v>18</v>
      </c>
      <c r="C21" s="14">
        <v>43901</v>
      </c>
      <c r="D21" s="19">
        <v>43903</v>
      </c>
      <c r="E21" s="22">
        <f t="shared" si="0"/>
        <v>3</v>
      </c>
      <c r="F21" s="11">
        <v>6</v>
      </c>
      <c r="G21" s="27">
        <v>0.95</v>
      </c>
      <c r="H21" s="37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9"/>
      <c r="AF21" s="34"/>
      <c r="AG21" s="34"/>
      <c r="AH21" s="34"/>
      <c r="AI21" s="39"/>
      <c r="AJ21" s="39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8"/>
    </row>
    <row r="22" spans="1:91 16235:16235" x14ac:dyDescent="0.25">
      <c r="A22" s="8">
        <v>3.6</v>
      </c>
      <c r="B22" s="59" t="s">
        <v>19</v>
      </c>
      <c r="C22" s="14">
        <v>43904</v>
      </c>
      <c r="D22" s="19">
        <v>43908</v>
      </c>
      <c r="E22" s="22">
        <f t="shared" si="0"/>
        <v>5</v>
      </c>
      <c r="F22" s="11">
        <v>5</v>
      </c>
      <c r="G22" s="27">
        <v>0.95</v>
      </c>
      <c r="H22" s="37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9"/>
      <c r="AF22" s="39"/>
      <c r="AG22" s="39"/>
      <c r="AH22" s="39"/>
      <c r="AI22" s="34"/>
      <c r="AJ22" s="34"/>
      <c r="AK22" s="34"/>
      <c r="AL22" s="34"/>
      <c r="AM22" s="34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8"/>
      <c r="WZK22" s="1"/>
    </row>
    <row r="23" spans="1:91 16235:16235" x14ac:dyDescent="0.25">
      <c r="A23" s="8">
        <v>3.7</v>
      </c>
      <c r="B23" s="11" t="s">
        <v>22</v>
      </c>
      <c r="C23" s="14">
        <v>43909</v>
      </c>
      <c r="D23" s="19">
        <v>43912</v>
      </c>
      <c r="E23" s="22">
        <f t="shared" si="0"/>
        <v>4</v>
      </c>
      <c r="F23" s="11">
        <v>5</v>
      </c>
      <c r="G23" s="27">
        <v>1</v>
      </c>
      <c r="H23" s="37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4"/>
      <c r="AO23" s="34"/>
      <c r="AP23" s="34"/>
      <c r="AQ23" s="34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8"/>
    </row>
    <row r="24" spans="1:91 16235:16235" x14ac:dyDescent="0.25">
      <c r="A24" s="8">
        <v>3.8</v>
      </c>
      <c r="B24" s="11" t="s">
        <v>20</v>
      </c>
      <c r="C24" s="14">
        <v>43913</v>
      </c>
      <c r="D24" s="19">
        <v>43915</v>
      </c>
      <c r="E24" s="22">
        <f t="shared" si="0"/>
        <v>3</v>
      </c>
      <c r="F24" s="11">
        <v>6</v>
      </c>
      <c r="G24" s="27">
        <v>1</v>
      </c>
      <c r="H24" s="37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9"/>
      <c r="AF24" s="39"/>
      <c r="AG24" s="39"/>
      <c r="AH24" s="39"/>
      <c r="AI24" s="39"/>
      <c r="AJ24" s="39"/>
      <c r="AK24" s="36"/>
      <c r="AL24" s="36"/>
      <c r="AM24" s="36"/>
      <c r="AN24" s="36"/>
      <c r="AO24" s="36"/>
      <c r="AP24" s="36"/>
      <c r="AQ24" s="36"/>
      <c r="AR24" s="34"/>
      <c r="AS24" s="34"/>
      <c r="AT24" s="34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8"/>
    </row>
    <row r="25" spans="1:91 16235:16235" x14ac:dyDescent="0.25">
      <c r="A25" s="8">
        <v>3.9</v>
      </c>
      <c r="B25" s="11" t="s">
        <v>23</v>
      </c>
      <c r="C25" s="14">
        <v>43914</v>
      </c>
      <c r="D25" s="18">
        <v>43918</v>
      </c>
      <c r="E25" s="22">
        <f t="shared" si="0"/>
        <v>5</v>
      </c>
      <c r="F25" s="11">
        <v>7</v>
      </c>
      <c r="G25" s="27">
        <v>1</v>
      </c>
      <c r="H25" s="37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4"/>
      <c r="AT25" s="34"/>
      <c r="AU25" s="34"/>
      <c r="AV25" s="34"/>
      <c r="AW25" s="34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8"/>
    </row>
    <row r="26" spans="1:91 16235:16235" s="3" customFormat="1" x14ac:dyDescent="0.25">
      <c r="A26" s="7">
        <v>4</v>
      </c>
      <c r="B26" s="10" t="s">
        <v>8</v>
      </c>
      <c r="C26" s="15">
        <v>43919</v>
      </c>
      <c r="D26" s="17">
        <v>43925</v>
      </c>
      <c r="E26" s="23">
        <f t="shared" si="0"/>
        <v>7</v>
      </c>
      <c r="F26" s="10">
        <f>SUM(F27:F29)</f>
        <v>25</v>
      </c>
      <c r="G26" s="26">
        <f>SUM(G27:G29)/3</f>
        <v>0</v>
      </c>
      <c r="H26" s="38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4"/>
      <c r="AY26" s="34"/>
      <c r="AZ26" s="34"/>
      <c r="BA26" s="34"/>
      <c r="BB26" s="34"/>
      <c r="BC26" s="34"/>
      <c r="BD26" s="34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7"/>
    </row>
    <row r="27" spans="1:91 16235:16235" x14ac:dyDescent="0.25">
      <c r="A27" s="8">
        <v>4.0999999999999996</v>
      </c>
      <c r="B27" s="11" t="s">
        <v>44</v>
      </c>
      <c r="C27" s="14">
        <v>43919</v>
      </c>
      <c r="D27" s="18">
        <v>43922</v>
      </c>
      <c r="E27" s="24">
        <f t="shared" si="0"/>
        <v>4</v>
      </c>
      <c r="F27" s="11">
        <v>15</v>
      </c>
      <c r="G27" s="27">
        <v>0</v>
      </c>
      <c r="H27" s="37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4"/>
      <c r="AY27" s="34"/>
      <c r="AZ27" s="34"/>
      <c r="BA27" s="34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8"/>
    </row>
    <row r="28" spans="1:91 16235:16235" x14ac:dyDescent="0.25">
      <c r="A28" s="8">
        <v>4.2</v>
      </c>
      <c r="B28" s="11" t="s">
        <v>45</v>
      </c>
      <c r="C28" s="14">
        <v>43921</v>
      </c>
      <c r="D28" s="18">
        <v>43923</v>
      </c>
      <c r="E28" s="24">
        <f t="shared" si="0"/>
        <v>3</v>
      </c>
      <c r="F28" s="11">
        <v>4</v>
      </c>
      <c r="G28" s="27">
        <v>0</v>
      </c>
      <c r="H28" s="37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4"/>
      <c r="BA28" s="34"/>
      <c r="BB28" s="34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8"/>
    </row>
    <row r="29" spans="1:91 16235:16235" x14ac:dyDescent="0.25">
      <c r="A29" s="8">
        <v>4.3</v>
      </c>
      <c r="B29" s="11" t="s">
        <v>46</v>
      </c>
      <c r="C29" s="14">
        <v>43922</v>
      </c>
      <c r="D29" s="18">
        <v>43925</v>
      </c>
      <c r="E29" s="24">
        <f t="shared" si="0"/>
        <v>4</v>
      </c>
      <c r="F29" s="11">
        <v>6</v>
      </c>
      <c r="G29" s="27">
        <v>0</v>
      </c>
      <c r="H29" s="37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4"/>
      <c r="BC29" s="34"/>
      <c r="BD29" s="34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8"/>
    </row>
    <row r="30" spans="1:91 16235:16235" s="3" customFormat="1" x14ac:dyDescent="0.25">
      <c r="A30" s="7">
        <v>5</v>
      </c>
      <c r="B30" s="10" t="s">
        <v>9</v>
      </c>
      <c r="C30" s="15">
        <v>43926</v>
      </c>
      <c r="D30" s="17">
        <v>43932</v>
      </c>
      <c r="E30" s="23">
        <f t="shared" si="0"/>
        <v>7</v>
      </c>
      <c r="F30" s="10">
        <f>SUM(F31:F34)</f>
        <v>7</v>
      </c>
      <c r="G30" s="26">
        <f>SUM(G31:G34)/4</f>
        <v>0</v>
      </c>
      <c r="H30" s="38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4"/>
      <c r="BF30" s="34"/>
      <c r="BG30" s="34"/>
      <c r="BH30" s="34"/>
      <c r="BI30" s="34"/>
      <c r="BJ30" s="34"/>
      <c r="BK30" s="34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7"/>
    </row>
    <row r="31" spans="1:91 16235:16235" x14ac:dyDescent="0.25">
      <c r="A31" s="8">
        <v>5.0999999999999996</v>
      </c>
      <c r="B31" s="11" t="s">
        <v>40</v>
      </c>
      <c r="C31" s="14">
        <v>43926</v>
      </c>
      <c r="D31" s="18">
        <v>43928</v>
      </c>
      <c r="E31" s="24">
        <f t="shared" si="0"/>
        <v>3</v>
      </c>
      <c r="F31" s="11">
        <v>2</v>
      </c>
      <c r="G31" s="27">
        <v>0</v>
      </c>
      <c r="H31" s="37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4"/>
      <c r="BF31" s="34"/>
      <c r="BG31" s="34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8"/>
    </row>
    <row r="32" spans="1:91 16235:16235" x14ac:dyDescent="0.25">
      <c r="A32" s="8">
        <v>5.2</v>
      </c>
      <c r="B32" s="11" t="s">
        <v>51</v>
      </c>
      <c r="C32" s="14">
        <v>43928</v>
      </c>
      <c r="D32" s="18">
        <v>43930</v>
      </c>
      <c r="E32" s="24">
        <f t="shared" si="0"/>
        <v>3</v>
      </c>
      <c r="F32" s="11">
        <v>3</v>
      </c>
      <c r="G32" s="27">
        <v>0</v>
      </c>
      <c r="H32" s="37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4"/>
      <c r="BH32" s="34"/>
      <c r="BI32" s="34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8"/>
    </row>
    <row r="33" spans="1:91" x14ac:dyDescent="0.25">
      <c r="A33" s="8">
        <v>5.3</v>
      </c>
      <c r="B33" s="11" t="s">
        <v>39</v>
      </c>
      <c r="C33" s="14">
        <v>43930</v>
      </c>
      <c r="D33" s="18">
        <v>43931</v>
      </c>
      <c r="E33" s="24">
        <f t="shared" si="0"/>
        <v>2</v>
      </c>
      <c r="F33" s="11">
        <v>1</v>
      </c>
      <c r="G33" s="27">
        <v>0</v>
      </c>
      <c r="H33" s="37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4"/>
      <c r="BJ33" s="34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8"/>
    </row>
    <row r="34" spans="1:91" x14ac:dyDescent="0.25">
      <c r="A34" s="8">
        <v>5.4</v>
      </c>
      <c r="B34" s="11" t="s">
        <v>52</v>
      </c>
      <c r="C34" s="14">
        <v>43932</v>
      </c>
      <c r="D34" s="18">
        <v>43932</v>
      </c>
      <c r="E34" s="24">
        <f t="shared" si="0"/>
        <v>1</v>
      </c>
      <c r="F34" s="11">
        <v>1</v>
      </c>
      <c r="G34" s="27">
        <v>0</v>
      </c>
      <c r="H34" s="37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4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8"/>
    </row>
    <row r="35" spans="1:91" s="3" customFormat="1" x14ac:dyDescent="0.25">
      <c r="A35" s="7">
        <v>6</v>
      </c>
      <c r="B35" s="10" t="s">
        <v>10</v>
      </c>
      <c r="C35" s="15">
        <v>43933</v>
      </c>
      <c r="D35" s="17">
        <v>43939</v>
      </c>
      <c r="E35" s="23">
        <f t="shared" si="0"/>
        <v>7</v>
      </c>
      <c r="F35" s="10">
        <f>SUM(F36:F38)</f>
        <v>1.5</v>
      </c>
      <c r="G35" s="26">
        <f>SUM(G36:G38)/3</f>
        <v>0</v>
      </c>
      <c r="H35" s="38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4"/>
      <c r="BM35" s="34"/>
      <c r="BN35" s="34"/>
      <c r="BO35" s="34"/>
      <c r="BP35" s="34"/>
      <c r="BQ35" s="34"/>
      <c r="BR35" s="34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7"/>
    </row>
    <row r="36" spans="1:91" x14ac:dyDescent="0.25">
      <c r="A36" s="8">
        <v>6.1</v>
      </c>
      <c r="B36" s="11" t="s">
        <v>41</v>
      </c>
      <c r="C36" s="14">
        <v>43933</v>
      </c>
      <c r="D36" s="18">
        <v>43933</v>
      </c>
      <c r="E36" s="24">
        <f t="shared" ref="E36:E54" si="1">_xlfn.DAYS(D36, C36)+1</f>
        <v>1</v>
      </c>
      <c r="F36" s="11">
        <v>0.5</v>
      </c>
      <c r="G36" s="27">
        <v>0</v>
      </c>
      <c r="H36" s="37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4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8"/>
    </row>
    <row r="37" spans="1:91" x14ac:dyDescent="0.25">
      <c r="A37" s="8">
        <v>6.2</v>
      </c>
      <c r="B37" s="11" t="s">
        <v>42</v>
      </c>
      <c r="C37" s="14">
        <v>43936</v>
      </c>
      <c r="D37" s="18">
        <v>43936</v>
      </c>
      <c r="E37" s="24">
        <f t="shared" si="1"/>
        <v>1</v>
      </c>
      <c r="F37" s="11">
        <v>0.5</v>
      </c>
      <c r="G37" s="27">
        <v>0</v>
      </c>
      <c r="H37" s="37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4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8"/>
    </row>
    <row r="38" spans="1:91" x14ac:dyDescent="0.25">
      <c r="A38" s="8">
        <v>6.3</v>
      </c>
      <c r="B38" s="11" t="s">
        <v>43</v>
      </c>
      <c r="C38" s="14">
        <v>43939</v>
      </c>
      <c r="D38" s="18">
        <v>43939</v>
      </c>
      <c r="E38" s="24">
        <f t="shared" si="1"/>
        <v>1</v>
      </c>
      <c r="F38" s="11">
        <v>0.5</v>
      </c>
      <c r="G38" s="27">
        <v>0</v>
      </c>
      <c r="H38" s="37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4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8"/>
    </row>
    <row r="39" spans="1:91" s="3" customFormat="1" x14ac:dyDescent="0.25">
      <c r="A39" s="7">
        <v>7</v>
      </c>
      <c r="B39" s="10" t="s">
        <v>11</v>
      </c>
      <c r="C39" s="15">
        <v>43933</v>
      </c>
      <c r="D39" s="17">
        <v>43946</v>
      </c>
      <c r="E39" s="23">
        <f t="shared" si="1"/>
        <v>14</v>
      </c>
      <c r="F39" s="10">
        <f>SUM(F40:F42)</f>
        <v>4</v>
      </c>
      <c r="G39" s="26">
        <f>SUM(G40:G42)/3</f>
        <v>0</v>
      </c>
      <c r="H39" s="38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7"/>
    </row>
    <row r="40" spans="1:91" x14ac:dyDescent="0.25">
      <c r="A40" s="8">
        <v>7.1</v>
      </c>
      <c r="B40" s="11" t="s">
        <v>29</v>
      </c>
      <c r="C40" s="14">
        <v>43936</v>
      </c>
      <c r="D40" s="18">
        <v>43938</v>
      </c>
      <c r="E40" s="24">
        <f t="shared" si="1"/>
        <v>3</v>
      </c>
      <c r="F40" s="11">
        <v>2</v>
      </c>
      <c r="G40" s="27">
        <v>0</v>
      </c>
      <c r="H40" s="37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4"/>
      <c r="BP40" s="34"/>
      <c r="BQ40" s="34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8"/>
    </row>
    <row r="41" spans="1:91" x14ac:dyDescent="0.25">
      <c r="A41" s="8">
        <v>7.2</v>
      </c>
      <c r="B41" s="11" t="s">
        <v>39</v>
      </c>
      <c r="C41" s="14">
        <v>43939</v>
      </c>
      <c r="D41" s="18">
        <v>43941</v>
      </c>
      <c r="E41" s="24">
        <f t="shared" si="1"/>
        <v>3</v>
      </c>
      <c r="F41" s="11">
        <v>1</v>
      </c>
      <c r="G41" s="27">
        <v>0</v>
      </c>
      <c r="H41" s="37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4"/>
      <c r="BS41" s="34"/>
      <c r="BT41" s="34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8"/>
    </row>
    <row r="42" spans="1:91" x14ac:dyDescent="0.25">
      <c r="A42" s="8">
        <v>7.3</v>
      </c>
      <c r="B42" s="11" t="s">
        <v>40</v>
      </c>
      <c r="C42" s="14">
        <v>43942</v>
      </c>
      <c r="D42" s="18">
        <v>43944</v>
      </c>
      <c r="E42" s="24">
        <f t="shared" si="1"/>
        <v>3</v>
      </c>
      <c r="F42" s="11">
        <v>1</v>
      </c>
      <c r="G42" s="27">
        <v>0</v>
      </c>
      <c r="H42" s="37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4"/>
      <c r="BV42" s="34"/>
      <c r="BW42" s="34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8"/>
    </row>
    <row r="43" spans="1:91" s="3" customFormat="1" x14ac:dyDescent="0.25">
      <c r="A43" s="7">
        <v>8</v>
      </c>
      <c r="B43" s="10" t="s">
        <v>12</v>
      </c>
      <c r="C43" s="15">
        <v>43947</v>
      </c>
      <c r="D43" s="17">
        <v>43953</v>
      </c>
      <c r="E43" s="23">
        <f t="shared" si="1"/>
        <v>7</v>
      </c>
      <c r="F43" s="10">
        <f>SUM(F44:F46)</f>
        <v>11</v>
      </c>
      <c r="G43" s="26">
        <f>SUM(G44:G46)/3</f>
        <v>0</v>
      </c>
      <c r="H43" s="38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4"/>
      <c r="CA43" s="34"/>
      <c r="CB43" s="34"/>
      <c r="CC43" s="34"/>
      <c r="CD43" s="34"/>
      <c r="CE43" s="34"/>
      <c r="CF43" s="34"/>
      <c r="CG43" s="35"/>
      <c r="CH43" s="35"/>
      <c r="CI43" s="35"/>
      <c r="CJ43" s="35"/>
      <c r="CK43" s="35"/>
      <c r="CL43" s="35"/>
      <c r="CM43" s="7"/>
    </row>
    <row r="44" spans="1:91" x14ac:dyDescent="0.25">
      <c r="A44" s="8">
        <v>8.1</v>
      </c>
      <c r="B44" s="11" t="s">
        <v>36</v>
      </c>
      <c r="C44" s="14">
        <v>43947</v>
      </c>
      <c r="D44" s="18">
        <v>43950</v>
      </c>
      <c r="E44" s="24">
        <f t="shared" si="1"/>
        <v>4</v>
      </c>
      <c r="F44" s="11">
        <v>4</v>
      </c>
      <c r="G44" s="27">
        <v>0</v>
      </c>
      <c r="H44" s="37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4"/>
      <c r="CA44" s="34"/>
      <c r="CB44" s="34"/>
      <c r="CC44" s="34"/>
      <c r="CD44" s="36"/>
      <c r="CE44" s="36"/>
      <c r="CF44" s="36"/>
      <c r="CG44" s="36"/>
      <c r="CH44" s="36"/>
      <c r="CI44" s="36"/>
      <c r="CJ44" s="36"/>
      <c r="CK44" s="36"/>
      <c r="CL44" s="36"/>
      <c r="CM44" s="8"/>
    </row>
    <row r="45" spans="1:91" x14ac:dyDescent="0.25">
      <c r="A45" s="8">
        <v>8.1999999999999993</v>
      </c>
      <c r="B45" s="11" t="s">
        <v>37</v>
      </c>
      <c r="C45" s="14">
        <v>43949</v>
      </c>
      <c r="D45" s="18">
        <v>43952</v>
      </c>
      <c r="E45" s="24">
        <f t="shared" si="1"/>
        <v>4</v>
      </c>
      <c r="F45" s="11">
        <v>4</v>
      </c>
      <c r="G45" s="27">
        <v>0</v>
      </c>
      <c r="H45" s="37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4"/>
      <c r="CC45" s="34"/>
      <c r="CD45" s="34"/>
      <c r="CE45" s="34"/>
      <c r="CF45" s="36"/>
      <c r="CG45" s="36"/>
      <c r="CH45" s="36"/>
      <c r="CI45" s="36"/>
      <c r="CJ45" s="36"/>
      <c r="CK45" s="36"/>
      <c r="CL45" s="36"/>
      <c r="CM45" s="8"/>
    </row>
    <row r="46" spans="1:91" x14ac:dyDescent="0.25">
      <c r="A46" s="8">
        <v>8.3000000000000007</v>
      </c>
      <c r="B46" s="11" t="s">
        <v>38</v>
      </c>
      <c r="C46" s="14">
        <v>43951</v>
      </c>
      <c r="D46" s="18">
        <v>43953</v>
      </c>
      <c r="E46" s="24">
        <f t="shared" si="1"/>
        <v>3</v>
      </c>
      <c r="F46" s="11">
        <v>3</v>
      </c>
      <c r="G46" s="27">
        <v>0</v>
      </c>
      <c r="H46" s="37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4"/>
      <c r="CE46" s="34"/>
      <c r="CF46" s="34"/>
      <c r="CG46" s="36"/>
      <c r="CH46" s="36"/>
      <c r="CI46" s="36"/>
      <c r="CJ46" s="36"/>
      <c r="CK46" s="36"/>
      <c r="CL46" s="36"/>
      <c r="CM46" s="8"/>
    </row>
    <row r="47" spans="1:91" s="3" customFormat="1" x14ac:dyDescent="0.25">
      <c r="A47" s="7">
        <v>9</v>
      </c>
      <c r="B47" s="10" t="s">
        <v>13</v>
      </c>
      <c r="C47" s="15">
        <v>43954</v>
      </c>
      <c r="D47" s="17">
        <v>43960</v>
      </c>
      <c r="E47" s="23">
        <f t="shared" si="1"/>
        <v>7</v>
      </c>
      <c r="F47" s="10">
        <f>SUM(F48:F51)</f>
        <v>16</v>
      </c>
      <c r="G47" s="26">
        <f>SUM(G48:G51)/4</f>
        <v>0</v>
      </c>
      <c r="H47" s="38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4"/>
      <c r="CH47" s="34"/>
      <c r="CI47" s="34"/>
      <c r="CJ47" s="34"/>
      <c r="CK47" s="34"/>
      <c r="CL47" s="34"/>
      <c r="CM47" s="40"/>
    </row>
    <row r="48" spans="1:91" x14ac:dyDescent="0.25">
      <c r="A48" s="8">
        <v>9.1</v>
      </c>
      <c r="B48" s="11" t="s">
        <v>33</v>
      </c>
      <c r="C48" s="14">
        <v>43954</v>
      </c>
      <c r="D48" s="18">
        <v>43955</v>
      </c>
      <c r="E48" s="24">
        <f t="shared" si="1"/>
        <v>2</v>
      </c>
      <c r="F48" s="11">
        <v>4</v>
      </c>
      <c r="G48" s="27">
        <v>0</v>
      </c>
      <c r="H48" s="37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4"/>
      <c r="CH48" s="34"/>
      <c r="CI48" s="36"/>
      <c r="CJ48" s="36"/>
      <c r="CK48" s="36"/>
      <c r="CL48" s="36"/>
      <c r="CM48" s="8"/>
    </row>
    <row r="49" spans="1:91" x14ac:dyDescent="0.25">
      <c r="A49" s="8">
        <v>9.1999999999999993</v>
      </c>
      <c r="B49" s="11" t="s">
        <v>32</v>
      </c>
      <c r="C49" s="14">
        <v>43955</v>
      </c>
      <c r="D49" s="18">
        <v>43957</v>
      </c>
      <c r="E49" s="24">
        <f t="shared" si="1"/>
        <v>3</v>
      </c>
      <c r="F49" s="11">
        <v>4</v>
      </c>
      <c r="G49" s="27">
        <v>0</v>
      </c>
      <c r="H49" s="37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4"/>
      <c r="CI49" s="34"/>
      <c r="CJ49" s="34"/>
      <c r="CK49" s="36"/>
      <c r="CL49" s="36"/>
      <c r="CM49" s="8"/>
    </row>
    <row r="50" spans="1:91" x14ac:dyDescent="0.25">
      <c r="A50" s="8">
        <v>9.3000000000000007</v>
      </c>
      <c r="B50" s="11" t="s">
        <v>34</v>
      </c>
      <c r="C50" s="14">
        <v>43957</v>
      </c>
      <c r="D50" s="18">
        <v>43959</v>
      </c>
      <c r="E50" s="24">
        <f t="shared" si="1"/>
        <v>3</v>
      </c>
      <c r="F50" s="11">
        <v>4</v>
      </c>
      <c r="G50" s="27">
        <v>0</v>
      </c>
      <c r="H50" s="37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4"/>
      <c r="CK50" s="34"/>
      <c r="CL50" s="34"/>
      <c r="CM50" s="8"/>
    </row>
    <row r="51" spans="1:91" x14ac:dyDescent="0.25">
      <c r="A51" s="8">
        <v>9.4</v>
      </c>
      <c r="B51" s="11" t="s">
        <v>35</v>
      </c>
      <c r="C51" s="14">
        <v>43958</v>
      </c>
      <c r="D51" s="18">
        <v>43960</v>
      </c>
      <c r="E51" s="24">
        <f t="shared" si="1"/>
        <v>3</v>
      </c>
      <c r="F51" s="11">
        <v>4</v>
      </c>
      <c r="G51" s="27">
        <v>0</v>
      </c>
      <c r="H51" s="37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4"/>
      <c r="CL51" s="34"/>
      <c r="CM51" s="40"/>
    </row>
    <row r="52" spans="1:91" s="3" customFormat="1" x14ac:dyDescent="0.25">
      <c r="A52" s="7">
        <v>10</v>
      </c>
      <c r="B52" s="10" t="s">
        <v>14</v>
      </c>
      <c r="C52" s="15">
        <v>43954</v>
      </c>
      <c r="D52" s="17">
        <v>43960</v>
      </c>
      <c r="E52" s="23">
        <f t="shared" si="1"/>
        <v>7</v>
      </c>
      <c r="F52" s="10">
        <f>SUM(F53:F54)</f>
        <v>3</v>
      </c>
      <c r="G52" s="26">
        <f>SUM(G53:G54)/2</f>
        <v>0</v>
      </c>
      <c r="H52" s="38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4"/>
      <c r="CH52" s="34"/>
      <c r="CI52" s="34"/>
      <c r="CJ52" s="34"/>
      <c r="CK52" s="34"/>
      <c r="CL52" s="34"/>
      <c r="CM52" s="40"/>
    </row>
    <row r="53" spans="1:91" x14ac:dyDescent="0.25">
      <c r="A53" s="8">
        <v>10.1</v>
      </c>
      <c r="B53" s="11" t="s">
        <v>30</v>
      </c>
      <c r="C53" s="14">
        <v>43954</v>
      </c>
      <c r="D53" s="18">
        <v>43956</v>
      </c>
      <c r="E53" s="24">
        <f t="shared" si="1"/>
        <v>3</v>
      </c>
      <c r="F53" s="11">
        <v>2</v>
      </c>
      <c r="G53" s="27">
        <v>0</v>
      </c>
      <c r="H53" s="37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4"/>
      <c r="CH53" s="34"/>
      <c r="CI53" s="34"/>
      <c r="CJ53" s="36"/>
      <c r="CK53" s="36"/>
      <c r="CL53" s="36"/>
      <c r="CM53" s="8"/>
    </row>
    <row r="54" spans="1:91" x14ac:dyDescent="0.25">
      <c r="A54" s="9">
        <v>10.199999999999999</v>
      </c>
      <c r="B54" s="12" t="s">
        <v>31</v>
      </c>
      <c r="C54" s="16">
        <v>43957</v>
      </c>
      <c r="D54" s="20">
        <v>43960</v>
      </c>
      <c r="E54" s="25">
        <f t="shared" si="1"/>
        <v>4</v>
      </c>
      <c r="F54" s="12">
        <v>1</v>
      </c>
      <c r="G54" s="28">
        <v>0</v>
      </c>
      <c r="H54" s="41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3"/>
      <c r="CH54" s="43"/>
      <c r="CI54" s="43"/>
      <c r="CJ54" s="44"/>
      <c r="CK54" s="44"/>
      <c r="CL54" s="44"/>
      <c r="CM54" s="45"/>
    </row>
    <row r="55" spans="1:91" x14ac:dyDescent="0.25">
      <c r="A55" s="46"/>
      <c r="B55" s="47"/>
      <c r="C55" s="47"/>
      <c r="D55" s="48"/>
      <c r="E55" s="49"/>
      <c r="F55" s="47"/>
      <c r="G55" s="50"/>
    </row>
    <row r="56" spans="1:91" x14ac:dyDescent="0.25">
      <c r="A56" s="37" t="s">
        <v>15</v>
      </c>
      <c r="B56" s="36"/>
      <c r="C56" s="51">
        <v>43877</v>
      </c>
      <c r="D56" s="52">
        <v>43960</v>
      </c>
      <c r="E56" s="53">
        <f>_xlfn.DAYS(D56, C56)</f>
        <v>83</v>
      </c>
      <c r="F56" s="36">
        <f>SUM(F3, F8, F16, F26, F30, F35, F39, F43, F47, F52)</f>
        <v>137</v>
      </c>
      <c r="G56" s="54">
        <f>SUM(G3, G8, G16, G26, G30, G35, G39, G43, G47, G52)</f>
        <v>2.95</v>
      </c>
    </row>
    <row r="57" spans="1:91" x14ac:dyDescent="0.25">
      <c r="A57" s="37"/>
      <c r="B57" s="36"/>
      <c r="C57" s="36"/>
      <c r="D57" s="52"/>
      <c r="E57" s="53"/>
      <c r="F57" s="36"/>
      <c r="G57" s="55"/>
    </row>
    <row r="58" spans="1:91" x14ac:dyDescent="0.25">
      <c r="A58" s="63" t="str">
        <f>"Total Cost:  $" &amp; F56*100 &amp; "    |    15% Contingency: $" &amp; INT(F56*1.15)*100</f>
        <v>Total Cost:  $13700    |    15% Contingency: $15700</v>
      </c>
      <c r="B58" s="64"/>
      <c r="C58" s="64"/>
      <c r="D58" s="64"/>
      <c r="E58" s="64"/>
      <c r="F58" s="64"/>
      <c r="G58" s="65"/>
    </row>
    <row r="59" spans="1:91" x14ac:dyDescent="0.25">
      <c r="A59" s="41"/>
      <c r="B59" s="42"/>
      <c r="C59" s="42"/>
      <c r="D59" s="56"/>
      <c r="E59" s="57"/>
      <c r="F59" s="42"/>
      <c r="G59" s="58"/>
    </row>
  </sheetData>
  <mergeCells count="20">
    <mergeCell ref="CG1:CM1"/>
    <mergeCell ref="H1:N1"/>
    <mergeCell ref="O1:U1"/>
    <mergeCell ref="V1:AB1"/>
    <mergeCell ref="AC1:AI1"/>
    <mergeCell ref="AJ1:AP1"/>
    <mergeCell ref="AQ1:AW1"/>
    <mergeCell ref="AX1:BD1"/>
    <mergeCell ref="BE1:BK1"/>
    <mergeCell ref="BL1:BR1"/>
    <mergeCell ref="BS1:BY1"/>
    <mergeCell ref="BZ1:CF1"/>
    <mergeCell ref="D1:D2"/>
    <mergeCell ref="E1:E2"/>
    <mergeCell ref="F1:F2"/>
    <mergeCell ref="G1:G2"/>
    <mergeCell ref="A58:G58"/>
    <mergeCell ref="A1:A2"/>
    <mergeCell ref="B1:B2"/>
    <mergeCell ref="C1:C2"/>
  </mergeCells>
  <pageMargins left="0.7" right="0.7" top="0.75" bottom="0.75" header="0.3" footer="0.3"/>
  <pageSetup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2020-02-05T05:49:55Z</dcterms:created>
  <dcterms:modified xsi:type="dcterms:W3CDTF">2020-04-01T21:37:00Z</dcterms:modified>
</cp:coreProperties>
</file>